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FODAK\Desktop\club de compta\FICHIER COMPTABLE\NEW\Nouveau dossier\"/>
    </mc:Choice>
  </mc:AlternateContent>
  <bookViews>
    <workbookView xWindow="0" yWindow="0" windowWidth="20490" windowHeight="7620"/>
  </bookViews>
  <sheets>
    <sheet name="Conciliación" sheetId="1" r:id="rId1"/>
  </sheets>
  <definedNames>
    <definedName name="_xlnm._FilterDatabase" localSheetId="0" hidden="1">Conciliación!$B$18:$X$38</definedName>
    <definedName name="_xlnm.Print_Titles" localSheetId="0">Conciliación!$9:$15</definedName>
    <definedName name="Imprimir">Conciliación!$B$16:$X$39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1" i="1" l="1"/>
  <c r="D90" i="1"/>
  <c r="D65" i="1"/>
  <c r="D10" i="1" s="1"/>
  <c r="D39" i="1"/>
  <c r="D9" i="1" s="1"/>
  <c r="D12" i="1"/>
  <c r="D11" i="1"/>
  <c r="F9" i="1" l="1"/>
  <c r="F11" i="1" s="1"/>
</calcChain>
</file>

<file path=xl/comments1.xml><?xml version="1.0" encoding="utf-8"?>
<comments xmlns="http://schemas.openxmlformats.org/spreadsheetml/2006/main">
  <authors>
    <author>Daniel Bravo Toledo</author>
  </authors>
  <commentList>
    <comment ref="A18" authorId="0" shapeId="0">
      <text>
        <r>
          <rPr>
            <b/>
            <sz val="9"/>
            <color indexed="63"/>
            <rFont val="Tahoma"/>
            <family val="2"/>
          </rPr>
          <t>Introduire les PAIEMENTS comme relevé bancaire non recouverts en tant que mouvements du compte comptable avec un signe positif</t>
        </r>
      </text>
    </comment>
    <comment ref="A44" authorId="0" shapeId="0">
      <text>
        <r>
          <rPr>
            <b/>
            <sz val="9"/>
            <color indexed="63"/>
            <rFont val="Tahoma"/>
            <family val="2"/>
          </rPr>
          <t>Introduire les RECOUVREMENTS comme relevé bancaire non recouverts en tant que mouvements du compte comptable avec un signe positif</t>
        </r>
        <r>
          <rPr>
            <sz val="9"/>
            <color indexed="63"/>
            <rFont val="Tahoma"/>
            <family val="2"/>
          </rPr>
          <t xml:space="preserve">
</t>
        </r>
      </text>
    </comment>
    <comment ref="A69" authorId="0" shapeId="0">
      <text>
        <r>
          <rPr>
            <b/>
            <sz val="9"/>
            <color indexed="63"/>
            <rFont val="Tahoma"/>
            <family val="2"/>
          </rPr>
          <t xml:space="preserve">Introduire les PAIEMENTS en comptabilité non recouverts en tant que mouvements de relevé bancaire avec un signe positif
</t>
        </r>
        <r>
          <rPr>
            <sz val="9"/>
            <color indexed="63"/>
            <rFont val="Tahoma"/>
            <family val="2"/>
          </rPr>
          <t xml:space="preserve">
</t>
        </r>
      </text>
    </comment>
    <comment ref="A93" authorId="0" shapeId="0">
      <text>
        <r>
          <rPr>
            <b/>
            <sz val="9"/>
            <color indexed="63"/>
            <rFont val="Tahoma"/>
            <family val="2"/>
          </rPr>
          <t xml:space="preserve">Introduire les RECOUVREMENTS en comptabilité non recouverts en tant que mouvements de relevé bancaire avec un signe positif
</t>
        </r>
        <r>
          <rPr>
            <sz val="9"/>
            <color indexed="63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<sst xmlns="http://schemas.openxmlformats.org/spreadsheetml/2006/main" count="91" uniqueCount="41">
  <si>
    <t>Rapprochement bancaire</t>
  </si>
  <si>
    <t>Entreprise:</t>
  </si>
  <si>
    <t>Date</t>
  </si>
  <si>
    <t>Banque:</t>
  </si>
  <si>
    <t>CAM AGRICOL 206</t>
  </si>
  <si>
    <t>Solde relevé bancaire</t>
  </si>
  <si>
    <t>Cte Ctble</t>
  </si>
  <si>
    <t>Solde compte comptable</t>
  </si>
  <si>
    <t># Cte Courant:</t>
  </si>
  <si>
    <t>a) Paiements bancaires non comptables</t>
  </si>
  <si>
    <t>a-b-c+d</t>
  </si>
  <si>
    <t>b) Recouvrements bancaires non comptables</t>
  </si>
  <si>
    <t>c) Paiements comptables non bancaires</t>
  </si>
  <si>
    <t>Différence</t>
  </si>
  <si>
    <t>d) Recouvrements comptables bancaires</t>
  </si>
  <si>
    <t>i</t>
  </si>
  <si>
    <t>Concept</t>
  </si>
  <si>
    <t>Montant</t>
  </si>
  <si>
    <t>Observations</t>
  </si>
  <si>
    <t>Clé de recouvrement</t>
  </si>
  <si>
    <t>Agios DB 01/10/19 au 31/12/2019</t>
  </si>
  <si>
    <t>TVA / Agios DB 01/10/19 au 31/12/2019</t>
  </si>
  <si>
    <t>Services Bancaire</t>
  </si>
  <si>
    <t>Solde a Reporte</t>
  </si>
  <si>
    <t>Total</t>
  </si>
  <si>
    <t>Encaissement Mme Julie Sergine</t>
  </si>
  <si>
    <t>Encaissement Sun &amp; Fun Sportreisen</t>
  </si>
  <si>
    <t>Encaissement Club Adresse Du Cie [Prissing]</t>
  </si>
  <si>
    <t>Encaissement Mr Freeric Terrin</t>
  </si>
  <si>
    <t>d) Recouvrements comptables non bancaires</t>
  </si>
  <si>
    <t>E/ Hebergement / Laraki Omar</t>
  </si>
  <si>
    <t>RAN PRT19025285</t>
  </si>
  <si>
    <t>RAN PRT19025286</t>
  </si>
  <si>
    <t>Alimentation de Banque [Euro]</t>
  </si>
  <si>
    <t>Double saise</t>
  </si>
  <si>
    <t>E / Hebergement / Repas KBC Mois 10-19</t>
  </si>
  <si>
    <t>Avance / Ste Voyage Paradis</t>
  </si>
  <si>
    <t>MAD en faveur  RACHID</t>
  </si>
  <si>
    <t xml:space="preserve">Vir - Kite Boarding </t>
  </si>
  <si>
    <t>E / Restauratio / XXXXXX</t>
  </si>
  <si>
    <t>TCE TSGE Dakhla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</si>
</sst>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 ;[Red]\-#,##0.00\ "/>
  </numFmts>
  <fonts count="12" x14ac:knownFonts="1">
    <font>
      <sz val="10"/>
      <name val="Arial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b/>
      <u/>
      <sz val="18"/>
      <color theme="0"/>
      <name val="Calibri"/>
      <family val="2"/>
    </font>
    <font>
      <sz val="14"/>
      <name val="Calibri"/>
      <family val="2"/>
    </font>
    <font>
      <sz val="12"/>
      <name val="Calibri"/>
      <family val="2"/>
    </font>
    <font>
      <b/>
      <sz val="10"/>
      <name val="Arial"/>
      <family val="2"/>
    </font>
    <font>
      <b/>
      <sz val="14"/>
      <name val="Calibri"/>
      <family val="2"/>
    </font>
    <font>
      <b/>
      <sz val="10"/>
      <name val="Fixedsys"/>
      <family val="3"/>
    </font>
    <font>
      <sz val="10"/>
      <name val="Arial"/>
      <family val="2"/>
    </font>
    <font>
      <b/>
      <sz val="9"/>
      <color indexed="63"/>
      <name val="Tahoma"/>
      <family val="2"/>
    </font>
    <font>
      <sz val="9"/>
      <color indexed="63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319B96"/>
        <bgColor indexed="64"/>
      </patternFill>
    </fill>
    <fill>
      <patternFill patternType="solid">
        <fgColor rgb="FF4BC4C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4" fillId="0" borderId="0" xfId="0" applyFont="1" applyBorder="1"/>
    <xf numFmtId="0" fontId="5" fillId="0" borderId="6" xfId="0" applyFont="1" applyFill="1" applyBorder="1"/>
    <xf numFmtId="0" fontId="6" fillId="0" borderId="0" xfId="0" applyFont="1" applyBorder="1"/>
    <xf numFmtId="14" fontId="6" fillId="0" borderId="6" xfId="0" applyNumberFormat="1" applyFont="1" applyFill="1" applyBorder="1" applyAlignment="1">
      <alignment horizontal="center"/>
    </xf>
    <xf numFmtId="0" fontId="5" fillId="0" borderId="0" xfId="0" applyFont="1" applyBorder="1"/>
    <xf numFmtId="164" fontId="6" fillId="0" borderId="6" xfId="0" applyNumberFormat="1" applyFont="1" applyFill="1" applyBorder="1" applyProtection="1">
      <protection locked="0"/>
    </xf>
    <xf numFmtId="0" fontId="5" fillId="0" borderId="6" xfId="0" applyFont="1" applyFill="1" applyBorder="1" applyAlignment="1">
      <alignment horizontal="center" vertical="center"/>
    </xf>
    <xf numFmtId="0" fontId="5" fillId="0" borderId="0" xfId="0" applyFont="1" applyBorder="1" applyAlignment="1">
      <alignment wrapText="1"/>
    </xf>
    <xf numFmtId="1" fontId="5" fillId="0" borderId="6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164" fontId="6" fillId="4" borderId="11" xfId="0" applyNumberFormat="1" applyFont="1" applyFill="1" applyBorder="1"/>
    <xf numFmtId="164" fontId="4" fillId="5" borderId="9" xfId="0" applyNumberFormat="1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8" fillId="0" borderId="4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4" fontId="5" fillId="4" borderId="13" xfId="0" applyNumberFormat="1" applyFont="1" applyFill="1" applyBorder="1" applyAlignment="1">
      <alignment horizontal="center" vertical="center" wrapText="1"/>
    </xf>
    <xf numFmtId="15" fontId="0" fillId="0" borderId="14" xfId="0" applyNumberFormat="1" applyBorder="1" applyProtection="1">
      <protection locked="0"/>
    </xf>
    <xf numFmtId="4" fontId="9" fillId="0" borderId="14" xfId="0" applyNumberFormat="1" applyFont="1" applyBorder="1" applyProtection="1">
      <protection locked="0"/>
    </xf>
    <xf numFmtId="164" fontId="0" fillId="0" borderId="14" xfId="0" applyNumberFormat="1" applyBorder="1" applyProtection="1">
      <protection locked="0"/>
    </xf>
    <xf numFmtId="0" fontId="9" fillId="0" borderId="14" xfId="0" applyFont="1" applyBorder="1" applyProtection="1">
      <protection locked="0"/>
    </xf>
    <xf numFmtId="0" fontId="0" fillId="0" borderId="14" xfId="0" applyBorder="1" applyProtection="1">
      <protection locked="0"/>
    </xf>
    <xf numFmtId="15" fontId="0" fillId="6" borderId="14" xfId="0" applyNumberFormat="1" applyFill="1" applyBorder="1" applyProtection="1">
      <protection locked="0"/>
    </xf>
    <xf numFmtId="4" fontId="9" fillId="6" borderId="14" xfId="0" applyNumberFormat="1" applyFont="1" applyFill="1" applyBorder="1" applyProtection="1">
      <protection locked="0"/>
    </xf>
    <xf numFmtId="164" fontId="0" fillId="6" borderId="14" xfId="0" applyNumberFormat="1" applyFill="1" applyBorder="1" applyProtection="1">
      <protection locked="0"/>
    </xf>
    <xf numFmtId="15" fontId="0" fillId="0" borderId="0" xfId="0" applyNumberFormat="1" applyBorder="1"/>
    <xf numFmtId="0" fontId="6" fillId="0" borderId="15" xfId="0" applyFont="1" applyBorder="1" applyAlignment="1">
      <alignment horizontal="center"/>
    </xf>
    <xf numFmtId="164" fontId="6" fillId="0" borderId="16" xfId="0" applyNumberFormat="1" applyFont="1" applyBorder="1" applyAlignment="1">
      <alignment horizontal="center"/>
    </xf>
    <xf numFmtId="15" fontId="0" fillId="0" borderId="0" xfId="0" applyNumberFormat="1"/>
    <xf numFmtId="164" fontId="0" fillId="0" borderId="0" xfId="0" applyNumberFormat="1" applyBorder="1"/>
    <xf numFmtId="14" fontId="0" fillId="0" borderId="0" xfId="0" applyNumberFormat="1" applyBorder="1"/>
    <xf numFmtId="0" fontId="5" fillId="7" borderId="13" xfId="0" applyFont="1" applyFill="1" applyBorder="1" applyAlignment="1">
      <alignment horizontal="center" vertical="center" wrapText="1"/>
    </xf>
    <xf numFmtId="4" fontId="5" fillId="7" borderId="13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6" fillId="8" borderId="10" xfId="0" applyFont="1" applyFill="1" applyBorder="1" applyAlignment="1">
      <alignment horizontal="center"/>
    </xf>
    <xf numFmtId="164" fontId="6" fillId="8" borderId="11" xfId="0" applyNumberFormat="1" applyFont="1" applyFill="1" applyBorder="1"/>
    <xf numFmtId="0" fontId="7" fillId="4" borderId="10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4" fillId="3" borderId="7" xfId="0" applyFont="1" applyFill="1" applyBorder="1" applyAlignment="1"/>
    <xf numFmtId="0" fontId="4" fillId="3" borderId="8" xfId="0" applyFont="1" applyFill="1" applyBorder="1" applyAlignment="1"/>
    <xf numFmtId="0" fontId="4" fillId="5" borderId="7" xfId="0" applyFont="1" applyFill="1" applyBorder="1" applyAlignment="1"/>
    <xf numFmtId="0" fontId="4" fillId="5" borderId="8" xfId="0" applyFont="1" applyFill="1" applyBorder="1" applyAlignme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123"/>
  <sheetViews>
    <sheetView tabSelected="1" view="pageLayout" zoomScaleNormal="85" workbookViewId="0">
      <selection activeCell="C5" sqref="C5"/>
    </sheetView>
  </sheetViews>
  <sheetFormatPr baseColWidth="10" defaultColWidth="9.140625" defaultRowHeight="12.75" x14ac:dyDescent="0.2"/>
  <cols>
    <col min="1" max="1" width="13.85546875" customWidth="1"/>
    <col min="2" max="2" width="11.85546875" customWidth="1"/>
    <col min="3" max="3" width="50" customWidth="1"/>
    <col min="4" max="4" width="16.7109375" bestFit="1" customWidth="1"/>
    <col min="5" max="5" width="37.85546875" customWidth="1"/>
    <col min="6" max="6" width="14.7109375" customWidth="1"/>
    <col min="7" max="7" width="2.5703125" customWidth="1"/>
    <col min="8" max="8" width="11.85546875" customWidth="1"/>
    <col min="9" max="9" width="22.140625" customWidth="1"/>
    <col min="10" max="10" width="13.42578125" customWidth="1"/>
    <col min="11" max="11" width="29.7109375" customWidth="1"/>
    <col min="12" max="12" width="9" customWidth="1"/>
    <col min="13" max="13" width="2.7109375" customWidth="1"/>
    <col min="15" max="15" width="22.140625" customWidth="1"/>
    <col min="16" max="16" width="13.42578125" customWidth="1"/>
    <col min="17" max="17" width="24.42578125" customWidth="1"/>
    <col min="18" max="18" width="9" customWidth="1"/>
    <col min="19" max="19" width="2.5703125" customWidth="1"/>
    <col min="21" max="21" width="22.140625" customWidth="1"/>
    <col min="22" max="22" width="13.42578125" customWidth="1"/>
    <col min="23" max="23" width="24.42578125" customWidth="1"/>
    <col min="24" max="24" width="9" customWidth="1"/>
  </cols>
  <sheetData>
    <row r="1" spans="1:7" ht="20.100000000000001" customHeight="1" thickTop="1" x14ac:dyDescent="0.2">
      <c r="A1" s="1"/>
      <c r="B1" s="53"/>
      <c r="C1" s="53"/>
      <c r="D1" s="2"/>
      <c r="E1" s="2"/>
      <c r="F1" s="2"/>
      <c r="G1" s="3"/>
    </row>
    <row r="2" spans="1:7" ht="23.25" x14ac:dyDescent="0.35">
      <c r="A2" s="4"/>
      <c r="B2" s="54" t="s">
        <v>0</v>
      </c>
      <c r="C2" s="54"/>
      <c r="D2" s="54"/>
      <c r="E2" s="54"/>
      <c r="F2" s="54"/>
      <c r="G2" s="5"/>
    </row>
    <row r="3" spans="1:7" x14ac:dyDescent="0.2">
      <c r="A3" s="4"/>
      <c r="B3" s="6"/>
      <c r="C3" s="6"/>
      <c r="D3" s="6"/>
      <c r="E3" s="6"/>
      <c r="F3" s="6"/>
      <c r="G3" s="5"/>
    </row>
    <row r="4" spans="1:7" ht="18.75" x14ac:dyDescent="0.3">
      <c r="A4" s="4"/>
      <c r="B4" s="7" t="s">
        <v>1</v>
      </c>
      <c r="C4" s="8" t="s">
        <v>40</v>
      </c>
      <c r="D4" s="6"/>
      <c r="E4" s="9" t="s">
        <v>2</v>
      </c>
      <c r="F4" s="10">
        <v>43861</v>
      </c>
      <c r="G4" s="5"/>
    </row>
    <row r="5" spans="1:7" ht="15.75" x14ac:dyDescent="0.25">
      <c r="A5" s="4"/>
      <c r="B5" s="11" t="s">
        <v>3</v>
      </c>
      <c r="C5" s="8" t="s">
        <v>4</v>
      </c>
      <c r="D5" s="6"/>
      <c r="E5" s="9" t="s">
        <v>5</v>
      </c>
      <c r="F5" s="12">
        <v>230142.31</v>
      </c>
      <c r="G5" s="5"/>
    </row>
    <row r="6" spans="1:7" ht="15.75" x14ac:dyDescent="0.25">
      <c r="A6" s="4"/>
      <c r="B6" s="11" t="s">
        <v>6</v>
      </c>
      <c r="C6" s="13">
        <v>5141002</v>
      </c>
      <c r="D6" s="6"/>
      <c r="E6" s="9" t="s">
        <v>7</v>
      </c>
      <c r="F6" s="12">
        <v>2267218.15</v>
      </c>
      <c r="G6" s="5"/>
    </row>
    <row r="7" spans="1:7" ht="31.5" x14ac:dyDescent="0.25">
      <c r="A7" s="4"/>
      <c r="B7" s="14" t="s">
        <v>8</v>
      </c>
      <c r="C7" s="15">
        <v>7250000000000000</v>
      </c>
      <c r="D7" s="6"/>
      <c r="E7" s="6"/>
      <c r="F7" s="6"/>
      <c r="G7" s="5"/>
    </row>
    <row r="8" spans="1:7" ht="13.5" thickBot="1" x14ac:dyDescent="0.25">
      <c r="A8" s="4"/>
      <c r="B8" s="6"/>
      <c r="C8" s="6"/>
      <c r="D8" s="6"/>
      <c r="E8" s="6"/>
      <c r="F8" s="6"/>
      <c r="G8" s="5"/>
    </row>
    <row r="9" spans="1:7" ht="20.25" thickTop="1" thickBot="1" x14ac:dyDescent="0.35">
      <c r="A9" s="4"/>
      <c r="B9" s="55" t="s">
        <v>9</v>
      </c>
      <c r="C9" s="56"/>
      <c r="D9" s="16">
        <f>+D39</f>
        <v>910886.48</v>
      </c>
      <c r="E9" s="17" t="s">
        <v>10</v>
      </c>
      <c r="F9" s="18">
        <f>+D9-D10-D11+D12</f>
        <v>2037075.8399999999</v>
      </c>
      <c r="G9" s="5"/>
    </row>
    <row r="10" spans="1:7" ht="20.25" thickTop="1" thickBot="1" x14ac:dyDescent="0.35">
      <c r="A10" s="4"/>
      <c r="B10" s="55" t="s">
        <v>11</v>
      </c>
      <c r="C10" s="56"/>
      <c r="D10" s="16">
        <f>+D65</f>
        <v>1333202.9300000002</v>
      </c>
      <c r="E10" s="6"/>
      <c r="F10" s="6"/>
      <c r="G10" s="5"/>
    </row>
    <row r="11" spans="1:7" ht="20.25" thickTop="1" thickBot="1" x14ac:dyDescent="0.35">
      <c r="A11" s="4"/>
      <c r="B11" s="57" t="s">
        <v>12</v>
      </c>
      <c r="C11" s="58"/>
      <c r="D11" s="19">
        <f>+D90</f>
        <v>0</v>
      </c>
      <c r="E11" s="45" t="s">
        <v>13</v>
      </c>
      <c r="F11" s="46">
        <f>+F5-F6+F9</f>
        <v>0</v>
      </c>
      <c r="G11" s="5"/>
    </row>
    <row r="12" spans="1:7" ht="20.25" thickTop="1" thickBot="1" x14ac:dyDescent="0.35">
      <c r="A12" s="4"/>
      <c r="B12" s="57" t="s">
        <v>14</v>
      </c>
      <c r="C12" s="58"/>
      <c r="D12" s="19">
        <f>+D121</f>
        <v>2459392.29</v>
      </c>
      <c r="E12" s="6"/>
      <c r="F12" s="6"/>
      <c r="G12" s="5"/>
    </row>
    <row r="13" spans="1:7" ht="13.5" thickTop="1" x14ac:dyDescent="0.2">
      <c r="A13" s="4"/>
      <c r="B13" s="6"/>
      <c r="C13" s="6"/>
      <c r="D13" s="6"/>
      <c r="E13" s="6"/>
      <c r="F13" s="6"/>
      <c r="G13" s="5"/>
    </row>
    <row r="14" spans="1:7" x14ac:dyDescent="0.2">
      <c r="A14" s="4"/>
      <c r="B14" s="6"/>
      <c r="C14" s="6"/>
      <c r="D14" s="6"/>
      <c r="E14" s="6"/>
      <c r="F14" s="6"/>
      <c r="G14" s="5"/>
    </row>
    <row r="15" spans="1:7" ht="13.5" thickBot="1" x14ac:dyDescent="0.25">
      <c r="A15" s="4"/>
      <c r="B15" s="6"/>
      <c r="C15" s="6"/>
      <c r="D15" s="6"/>
      <c r="E15" s="6"/>
      <c r="F15" s="6"/>
      <c r="G15" s="5"/>
    </row>
    <row r="16" spans="1:7" s="22" customFormat="1" ht="19.5" thickBot="1" x14ac:dyDescent="0.35">
      <c r="A16" s="20"/>
      <c r="B16" s="47" t="s">
        <v>9</v>
      </c>
      <c r="C16" s="48"/>
      <c r="D16" s="48"/>
      <c r="E16" s="48"/>
      <c r="F16" s="49"/>
      <c r="G16" s="21"/>
    </row>
    <row r="17" spans="1:7" s="22" customFormat="1" ht="6.75" customHeight="1" thickBot="1" x14ac:dyDescent="0.3">
      <c r="A17" s="20"/>
      <c r="B17" s="11"/>
      <c r="C17" s="11"/>
      <c r="D17" s="11"/>
      <c r="E17" s="11"/>
      <c r="F17" s="11"/>
      <c r="G17" s="21"/>
    </row>
    <row r="18" spans="1:7" s="22" customFormat="1" ht="33" thickTop="1" thickBot="1" x14ac:dyDescent="0.3">
      <c r="A18" s="23" t="s">
        <v>15</v>
      </c>
      <c r="B18" s="24" t="s">
        <v>2</v>
      </c>
      <c r="C18" s="25" t="s">
        <v>16</v>
      </c>
      <c r="D18" s="24" t="s">
        <v>17</v>
      </c>
      <c r="E18" s="24" t="s">
        <v>18</v>
      </c>
      <c r="F18" s="24" t="s">
        <v>19</v>
      </c>
      <c r="G18" s="21"/>
    </row>
    <row r="19" spans="1:7" ht="13.5" thickTop="1" x14ac:dyDescent="0.2">
      <c r="A19" s="4"/>
      <c r="B19" s="26">
        <v>43833</v>
      </c>
      <c r="C19" s="27" t="s">
        <v>37</v>
      </c>
      <c r="D19" s="28">
        <v>324727.44</v>
      </c>
      <c r="E19" s="29"/>
      <c r="F19" s="30"/>
      <c r="G19" s="5"/>
    </row>
    <row r="20" spans="1:7" x14ac:dyDescent="0.2">
      <c r="A20" s="4"/>
      <c r="B20" s="26">
        <v>43836</v>
      </c>
      <c r="C20" s="27" t="s">
        <v>37</v>
      </c>
      <c r="D20" s="28">
        <v>34339</v>
      </c>
      <c r="E20" s="29"/>
      <c r="F20" s="30"/>
      <c r="G20" s="5"/>
    </row>
    <row r="21" spans="1:7" x14ac:dyDescent="0.2">
      <c r="A21" s="4"/>
      <c r="B21" s="26">
        <v>43839</v>
      </c>
      <c r="C21" s="27" t="s">
        <v>20</v>
      </c>
      <c r="D21" s="28">
        <v>4147.8900000000003</v>
      </c>
      <c r="E21" s="29"/>
      <c r="F21" s="30"/>
      <c r="G21" s="5"/>
    </row>
    <row r="22" spans="1:7" x14ac:dyDescent="0.2">
      <c r="A22" s="4"/>
      <c r="B22" s="26">
        <v>43839</v>
      </c>
      <c r="C22" s="27" t="s">
        <v>21</v>
      </c>
      <c r="D22" s="28">
        <v>414.79</v>
      </c>
      <c r="E22" s="29"/>
      <c r="F22" s="30"/>
      <c r="G22" s="5"/>
    </row>
    <row r="23" spans="1:7" x14ac:dyDescent="0.2">
      <c r="A23" s="4"/>
      <c r="B23" s="26">
        <v>43839</v>
      </c>
      <c r="C23" s="27" t="s">
        <v>37</v>
      </c>
      <c r="D23" s="28">
        <v>30000</v>
      </c>
      <c r="E23" s="29"/>
      <c r="F23" s="30"/>
      <c r="G23" s="5"/>
    </row>
    <row r="24" spans="1:7" x14ac:dyDescent="0.2">
      <c r="A24" s="4"/>
      <c r="B24" s="26">
        <v>43861</v>
      </c>
      <c r="C24" s="27" t="s">
        <v>22</v>
      </c>
      <c r="D24" s="28">
        <v>7812.1</v>
      </c>
      <c r="E24" s="29"/>
      <c r="F24" s="30"/>
      <c r="G24" s="5"/>
    </row>
    <row r="25" spans="1:7" x14ac:dyDescent="0.2">
      <c r="A25" s="4"/>
      <c r="B25" s="31">
        <v>43831</v>
      </c>
      <c r="C25" s="32" t="s">
        <v>23</v>
      </c>
      <c r="D25" s="33">
        <v>509445.26</v>
      </c>
      <c r="E25" s="29"/>
      <c r="F25" s="30"/>
      <c r="G25" s="5"/>
    </row>
    <row r="26" spans="1:7" x14ac:dyDescent="0.2">
      <c r="A26" s="4"/>
      <c r="B26" s="26"/>
      <c r="C26" s="27"/>
      <c r="D26" s="28"/>
      <c r="E26" s="29"/>
      <c r="F26" s="30"/>
      <c r="G26" s="5"/>
    </row>
    <row r="27" spans="1:7" x14ac:dyDescent="0.2">
      <c r="A27" s="4"/>
      <c r="B27" s="26"/>
      <c r="C27" s="27"/>
      <c r="D27" s="28"/>
      <c r="E27" s="29"/>
      <c r="F27" s="30"/>
      <c r="G27" s="5"/>
    </row>
    <row r="28" spans="1:7" x14ac:dyDescent="0.2">
      <c r="A28" s="4"/>
      <c r="B28" s="26"/>
      <c r="C28" s="27"/>
      <c r="D28" s="28"/>
      <c r="E28" s="29"/>
      <c r="F28" s="30"/>
      <c r="G28" s="5"/>
    </row>
    <row r="29" spans="1:7" x14ac:dyDescent="0.2">
      <c r="A29" s="4"/>
      <c r="B29" s="26"/>
      <c r="C29" s="27"/>
      <c r="D29" s="28"/>
      <c r="E29" s="29"/>
      <c r="F29" s="30"/>
      <c r="G29" s="5"/>
    </row>
    <row r="30" spans="1:7" x14ac:dyDescent="0.2">
      <c r="A30" s="4"/>
      <c r="B30" s="26"/>
      <c r="C30" s="27"/>
      <c r="D30" s="28"/>
      <c r="E30" s="29"/>
      <c r="F30" s="30"/>
      <c r="G30" s="5"/>
    </row>
    <row r="31" spans="1:7" x14ac:dyDescent="0.2">
      <c r="A31" s="4"/>
      <c r="B31" s="26"/>
      <c r="C31" s="27"/>
      <c r="D31" s="28"/>
      <c r="E31" s="29"/>
      <c r="F31" s="30"/>
      <c r="G31" s="5"/>
    </row>
    <row r="32" spans="1:7" x14ac:dyDescent="0.2">
      <c r="A32" s="4"/>
      <c r="B32" s="26"/>
      <c r="C32" s="27"/>
      <c r="D32" s="28"/>
      <c r="E32" s="29"/>
      <c r="F32" s="30"/>
      <c r="G32" s="5"/>
    </row>
    <row r="33" spans="1:14" x14ac:dyDescent="0.2">
      <c r="A33" s="4"/>
      <c r="B33" s="26"/>
      <c r="C33" s="27"/>
      <c r="D33" s="28"/>
      <c r="E33" s="29"/>
      <c r="F33" s="30"/>
      <c r="G33" s="5"/>
    </row>
    <row r="34" spans="1:14" x14ac:dyDescent="0.2">
      <c r="A34" s="4"/>
      <c r="B34" s="26"/>
      <c r="C34" s="27"/>
      <c r="D34" s="28"/>
      <c r="E34" s="29"/>
      <c r="F34" s="30"/>
      <c r="G34" s="5"/>
    </row>
    <row r="35" spans="1:14" x14ac:dyDescent="0.2">
      <c r="A35" s="4"/>
      <c r="B35" s="26"/>
      <c r="C35" s="27"/>
      <c r="D35" s="28"/>
      <c r="E35" s="29"/>
      <c r="F35" s="30"/>
      <c r="G35" s="5"/>
    </row>
    <row r="36" spans="1:14" x14ac:dyDescent="0.2">
      <c r="A36" s="4"/>
      <c r="B36" s="26"/>
      <c r="C36" s="27"/>
      <c r="D36" s="28"/>
      <c r="E36" s="29"/>
      <c r="F36" s="30"/>
      <c r="G36" s="5"/>
    </row>
    <row r="37" spans="1:14" x14ac:dyDescent="0.2">
      <c r="A37" s="4"/>
      <c r="B37" s="26"/>
      <c r="C37" s="27"/>
      <c r="D37" s="28"/>
      <c r="E37" s="29"/>
      <c r="F37" s="30"/>
      <c r="G37" s="5"/>
    </row>
    <row r="38" spans="1:14" ht="13.5" thickBot="1" x14ac:dyDescent="0.25">
      <c r="A38" s="4"/>
      <c r="B38" s="26"/>
      <c r="C38" s="27"/>
      <c r="D38" s="28"/>
      <c r="E38" s="29"/>
      <c r="F38" s="30"/>
      <c r="G38" s="5"/>
    </row>
    <row r="39" spans="1:14" ht="13.5" thickBot="1" x14ac:dyDescent="0.25">
      <c r="A39" s="4"/>
      <c r="B39" s="34"/>
      <c r="C39" s="35" t="s">
        <v>24</v>
      </c>
      <c r="D39" s="36">
        <f>SUM(D19:D38)</f>
        <v>910886.48</v>
      </c>
      <c r="E39" s="6"/>
      <c r="F39" s="6"/>
      <c r="G39" s="5"/>
      <c r="N39" s="37"/>
    </row>
    <row r="40" spans="1:14" x14ac:dyDescent="0.2">
      <c r="A40" s="4"/>
      <c r="B40" s="34"/>
      <c r="C40" s="6"/>
      <c r="D40" s="38"/>
      <c r="E40" s="6"/>
      <c r="F40" s="6"/>
      <c r="G40" s="5"/>
    </row>
    <row r="41" spans="1:14" ht="13.5" thickBot="1" x14ac:dyDescent="0.25">
      <c r="A41" s="4"/>
      <c r="B41" s="39"/>
      <c r="C41" s="6"/>
      <c r="D41" s="6"/>
      <c r="E41" s="6"/>
      <c r="F41" s="6"/>
      <c r="G41" s="5"/>
    </row>
    <row r="42" spans="1:14" ht="19.5" thickBot="1" x14ac:dyDescent="0.35">
      <c r="A42" s="4"/>
      <c r="B42" s="47" t="s">
        <v>11</v>
      </c>
      <c r="C42" s="48"/>
      <c r="D42" s="48"/>
      <c r="E42" s="48"/>
      <c r="F42" s="49"/>
      <c r="G42" s="5"/>
    </row>
    <row r="43" spans="1:14" ht="16.5" thickBot="1" x14ac:dyDescent="0.3">
      <c r="A43" s="4"/>
      <c r="B43" s="11"/>
      <c r="C43" s="11"/>
      <c r="D43" s="11"/>
      <c r="E43" s="11"/>
      <c r="F43" s="11"/>
      <c r="G43" s="5"/>
    </row>
    <row r="44" spans="1:14" ht="33" thickTop="1" thickBot="1" x14ac:dyDescent="0.25">
      <c r="A44" s="23" t="s">
        <v>15</v>
      </c>
      <c r="B44" s="24" t="s">
        <v>2</v>
      </c>
      <c r="C44" s="25" t="s">
        <v>16</v>
      </c>
      <c r="D44" s="24" t="s">
        <v>17</v>
      </c>
      <c r="E44" s="24" t="s">
        <v>18</v>
      </c>
      <c r="F44" s="24" t="s">
        <v>19</v>
      </c>
      <c r="G44" s="5"/>
    </row>
    <row r="45" spans="1:14" ht="13.5" thickTop="1" x14ac:dyDescent="0.2">
      <c r="A45" s="4"/>
      <c r="B45" s="26">
        <v>43832</v>
      </c>
      <c r="C45" s="27" t="s">
        <v>25</v>
      </c>
      <c r="D45" s="28">
        <v>2340</v>
      </c>
      <c r="E45" s="29"/>
      <c r="F45" s="30"/>
      <c r="G45" s="5"/>
    </row>
    <row r="46" spans="1:14" x14ac:dyDescent="0.2">
      <c r="A46" s="4"/>
      <c r="B46" s="26">
        <v>43832</v>
      </c>
      <c r="C46" s="27" t="s">
        <v>26</v>
      </c>
      <c r="D46" s="28">
        <v>268484.15000000002</v>
      </c>
      <c r="E46" s="29"/>
      <c r="F46" s="30"/>
      <c r="G46" s="5"/>
    </row>
    <row r="47" spans="1:14" x14ac:dyDescent="0.2">
      <c r="A47" s="4"/>
      <c r="B47" s="26">
        <v>43843</v>
      </c>
      <c r="C47" s="27" t="s">
        <v>27</v>
      </c>
      <c r="D47" s="28">
        <v>331.74</v>
      </c>
      <c r="E47" s="29"/>
      <c r="F47" s="30"/>
      <c r="G47" s="5"/>
    </row>
    <row r="48" spans="1:14" x14ac:dyDescent="0.2">
      <c r="A48" s="4"/>
      <c r="B48" s="26">
        <v>43843</v>
      </c>
      <c r="C48" s="27" t="s">
        <v>26</v>
      </c>
      <c r="D48" s="28">
        <v>569415.99</v>
      </c>
      <c r="E48" s="29"/>
      <c r="F48" s="30"/>
      <c r="G48" s="5"/>
    </row>
    <row r="49" spans="1:7" x14ac:dyDescent="0.2">
      <c r="A49" s="4"/>
      <c r="B49" s="26">
        <v>43843</v>
      </c>
      <c r="C49" s="27" t="s">
        <v>38</v>
      </c>
      <c r="D49" s="28">
        <v>31999</v>
      </c>
      <c r="E49" s="29"/>
      <c r="F49" s="30"/>
      <c r="G49" s="5"/>
    </row>
    <row r="50" spans="1:7" x14ac:dyDescent="0.2">
      <c r="A50" s="4"/>
      <c r="B50" s="26">
        <v>43843</v>
      </c>
      <c r="C50" s="27" t="s">
        <v>38</v>
      </c>
      <c r="D50" s="28">
        <v>66929.5</v>
      </c>
      <c r="E50" s="29"/>
      <c r="F50" s="30"/>
      <c r="G50" s="5"/>
    </row>
    <row r="51" spans="1:7" x14ac:dyDescent="0.2">
      <c r="A51" s="4"/>
      <c r="B51" s="26">
        <v>43850</v>
      </c>
      <c r="C51" s="27" t="s">
        <v>38</v>
      </c>
      <c r="D51" s="28">
        <v>20000</v>
      </c>
      <c r="E51" s="29"/>
      <c r="F51" s="30"/>
      <c r="G51" s="5"/>
    </row>
    <row r="52" spans="1:7" x14ac:dyDescent="0.2">
      <c r="A52" s="4"/>
      <c r="B52" s="26">
        <v>43852</v>
      </c>
      <c r="C52" s="27" t="s">
        <v>26</v>
      </c>
      <c r="D52" s="28">
        <v>370041.46</v>
      </c>
      <c r="E52" s="29"/>
      <c r="F52" s="30"/>
      <c r="G52" s="5"/>
    </row>
    <row r="53" spans="1:7" x14ac:dyDescent="0.2">
      <c r="A53" s="4"/>
      <c r="B53" s="26">
        <v>43861</v>
      </c>
      <c r="C53" s="27" t="s">
        <v>28</v>
      </c>
      <c r="D53" s="28">
        <v>3661.09</v>
      </c>
      <c r="E53" s="29"/>
      <c r="F53" s="30"/>
      <c r="G53" s="5"/>
    </row>
    <row r="54" spans="1:7" x14ac:dyDescent="0.2">
      <c r="A54" s="4"/>
      <c r="B54" s="26"/>
      <c r="C54" s="27"/>
      <c r="D54" s="28"/>
      <c r="E54" s="29"/>
      <c r="F54" s="30"/>
      <c r="G54" s="5"/>
    </row>
    <row r="55" spans="1:7" x14ac:dyDescent="0.2">
      <c r="A55" s="4"/>
      <c r="B55" s="26"/>
      <c r="C55" s="27"/>
      <c r="D55" s="28"/>
      <c r="E55" s="29"/>
      <c r="F55" s="30"/>
      <c r="G55" s="5"/>
    </row>
    <row r="56" spans="1:7" x14ac:dyDescent="0.2">
      <c r="A56" s="4"/>
      <c r="B56" s="26"/>
      <c r="C56" s="27"/>
      <c r="D56" s="28"/>
      <c r="E56" s="29"/>
      <c r="F56" s="30"/>
      <c r="G56" s="5"/>
    </row>
    <row r="57" spans="1:7" x14ac:dyDescent="0.2">
      <c r="A57" s="4"/>
      <c r="B57" s="26"/>
      <c r="C57" s="27"/>
      <c r="D57" s="28"/>
      <c r="E57" s="29"/>
      <c r="F57" s="30"/>
      <c r="G57" s="5"/>
    </row>
    <row r="58" spans="1:7" x14ac:dyDescent="0.2">
      <c r="A58" s="4"/>
      <c r="B58" s="26"/>
      <c r="C58" s="27"/>
      <c r="D58" s="28"/>
      <c r="E58" s="29"/>
      <c r="F58" s="30"/>
      <c r="G58" s="5"/>
    </row>
    <row r="59" spans="1:7" x14ac:dyDescent="0.2">
      <c r="A59" s="4"/>
      <c r="B59" s="26"/>
      <c r="C59" s="27"/>
      <c r="D59" s="28"/>
      <c r="E59" s="29"/>
      <c r="F59" s="30"/>
      <c r="G59" s="5"/>
    </row>
    <row r="60" spans="1:7" x14ac:dyDescent="0.2">
      <c r="A60" s="4"/>
      <c r="B60" s="26"/>
      <c r="C60" s="27"/>
      <c r="D60" s="28"/>
      <c r="E60" s="29"/>
      <c r="F60" s="30"/>
      <c r="G60" s="5"/>
    </row>
    <row r="61" spans="1:7" x14ac:dyDescent="0.2">
      <c r="A61" s="4"/>
      <c r="B61" s="26"/>
      <c r="C61" s="27"/>
      <c r="D61" s="28"/>
      <c r="E61" s="29"/>
      <c r="F61" s="30"/>
      <c r="G61" s="5"/>
    </row>
    <row r="62" spans="1:7" x14ac:dyDescent="0.2">
      <c r="A62" s="4"/>
      <c r="B62" s="26"/>
      <c r="C62" s="27"/>
      <c r="D62" s="28"/>
      <c r="E62" s="29"/>
      <c r="F62" s="30"/>
      <c r="G62" s="5"/>
    </row>
    <row r="63" spans="1:7" x14ac:dyDescent="0.2">
      <c r="A63" s="4"/>
      <c r="B63" s="26"/>
      <c r="C63" s="27"/>
      <c r="D63" s="28"/>
      <c r="E63" s="29"/>
      <c r="F63" s="30"/>
      <c r="G63" s="5"/>
    </row>
    <row r="64" spans="1:7" ht="13.5" thickBot="1" x14ac:dyDescent="0.25">
      <c r="A64" s="4"/>
      <c r="B64" s="26"/>
      <c r="C64" s="27"/>
      <c r="D64" s="28"/>
      <c r="E64" s="29"/>
      <c r="F64" s="30"/>
      <c r="G64" s="5"/>
    </row>
    <row r="65" spans="1:7" ht="13.5" thickBot="1" x14ac:dyDescent="0.25">
      <c r="A65" s="4"/>
      <c r="B65" s="34"/>
      <c r="C65" s="35" t="s">
        <v>24</v>
      </c>
      <c r="D65" s="36">
        <f>SUM(D45:D64)</f>
        <v>1333202.9300000002</v>
      </c>
      <c r="E65" s="6"/>
      <c r="F65" s="6"/>
      <c r="G65" s="5"/>
    </row>
    <row r="66" spans="1:7" ht="13.5" thickBot="1" x14ac:dyDescent="0.25">
      <c r="A66" s="4"/>
      <c r="B66" s="39"/>
      <c r="C66" s="6"/>
      <c r="D66" s="6"/>
      <c r="E66" s="6"/>
      <c r="F66" s="6"/>
      <c r="G66" s="5"/>
    </row>
    <row r="67" spans="1:7" ht="19.5" thickBot="1" x14ac:dyDescent="0.35">
      <c r="A67" s="4"/>
      <c r="B67" s="50" t="s">
        <v>12</v>
      </c>
      <c r="C67" s="51"/>
      <c r="D67" s="51"/>
      <c r="E67" s="51"/>
      <c r="F67" s="52"/>
      <c r="G67" s="5"/>
    </row>
    <row r="68" spans="1:7" ht="16.5" thickBot="1" x14ac:dyDescent="0.3">
      <c r="A68" s="4"/>
      <c r="B68" s="11"/>
      <c r="C68" s="11"/>
      <c r="D68" s="11"/>
      <c r="E68" s="11"/>
      <c r="F68" s="11"/>
      <c r="G68" s="5"/>
    </row>
    <row r="69" spans="1:7" ht="33" thickTop="1" thickBot="1" x14ac:dyDescent="0.25">
      <c r="A69" s="23" t="s">
        <v>15</v>
      </c>
      <c r="B69" s="40" t="s">
        <v>2</v>
      </c>
      <c r="C69" s="41" t="s">
        <v>16</v>
      </c>
      <c r="D69" s="40" t="s">
        <v>17</v>
      </c>
      <c r="E69" s="40" t="s">
        <v>18</v>
      </c>
      <c r="F69" s="40" t="s">
        <v>19</v>
      </c>
      <c r="G69" s="5"/>
    </row>
    <row r="70" spans="1:7" ht="13.5" thickTop="1" x14ac:dyDescent="0.2">
      <c r="A70" s="4"/>
      <c r="B70" s="26"/>
      <c r="C70" s="27"/>
      <c r="D70" s="28"/>
      <c r="E70" s="29"/>
      <c r="F70" s="30"/>
      <c r="G70" s="5"/>
    </row>
    <row r="71" spans="1:7" x14ac:dyDescent="0.2">
      <c r="A71" s="4"/>
      <c r="B71" s="26"/>
      <c r="C71" s="27"/>
      <c r="D71" s="28"/>
      <c r="E71" s="29"/>
      <c r="F71" s="30"/>
      <c r="G71" s="5"/>
    </row>
    <row r="72" spans="1:7" x14ac:dyDescent="0.2">
      <c r="A72" s="4"/>
      <c r="B72" s="26"/>
      <c r="C72" s="27"/>
      <c r="D72" s="28"/>
      <c r="E72" s="29"/>
      <c r="F72" s="30"/>
      <c r="G72" s="5"/>
    </row>
    <row r="73" spans="1:7" x14ac:dyDescent="0.2">
      <c r="A73" s="4"/>
      <c r="B73" s="26"/>
      <c r="C73" s="27"/>
      <c r="D73" s="28"/>
      <c r="E73" s="29"/>
      <c r="F73" s="30"/>
      <c r="G73" s="5"/>
    </row>
    <row r="74" spans="1:7" x14ac:dyDescent="0.2">
      <c r="A74" s="4"/>
      <c r="B74" s="26"/>
      <c r="C74" s="27"/>
      <c r="D74" s="28"/>
      <c r="E74" s="29"/>
      <c r="F74" s="30"/>
      <c r="G74" s="5"/>
    </row>
    <row r="75" spans="1:7" x14ac:dyDescent="0.2">
      <c r="A75" s="4"/>
      <c r="B75" s="26"/>
      <c r="C75" s="27"/>
      <c r="D75" s="28"/>
      <c r="E75" s="29"/>
      <c r="F75" s="30"/>
      <c r="G75" s="5"/>
    </row>
    <row r="76" spans="1:7" x14ac:dyDescent="0.2">
      <c r="A76" s="4"/>
      <c r="B76" s="26"/>
      <c r="C76" s="27"/>
      <c r="D76" s="28"/>
      <c r="E76" s="29"/>
      <c r="F76" s="30"/>
      <c r="G76" s="5"/>
    </row>
    <row r="77" spans="1:7" x14ac:dyDescent="0.2">
      <c r="A77" s="4"/>
      <c r="B77" s="26"/>
      <c r="C77" s="27"/>
      <c r="D77" s="28"/>
      <c r="E77" s="29"/>
      <c r="F77" s="30"/>
      <c r="G77" s="5"/>
    </row>
    <row r="78" spans="1:7" x14ac:dyDescent="0.2">
      <c r="A78" s="4"/>
      <c r="B78" s="26"/>
      <c r="C78" s="27"/>
      <c r="D78" s="28"/>
      <c r="E78" s="29"/>
      <c r="F78" s="30"/>
      <c r="G78" s="5"/>
    </row>
    <row r="79" spans="1:7" x14ac:dyDescent="0.2">
      <c r="A79" s="4"/>
      <c r="B79" s="26"/>
      <c r="C79" s="27"/>
      <c r="D79" s="28"/>
      <c r="E79" s="29"/>
      <c r="F79" s="30"/>
      <c r="G79" s="5"/>
    </row>
    <row r="80" spans="1:7" x14ac:dyDescent="0.2">
      <c r="A80" s="4"/>
      <c r="B80" s="26"/>
      <c r="C80" s="27"/>
      <c r="D80" s="28"/>
      <c r="E80" s="29"/>
      <c r="F80" s="30"/>
      <c r="G80" s="5"/>
    </row>
    <row r="81" spans="1:7" x14ac:dyDescent="0.2">
      <c r="A81" s="4"/>
      <c r="B81" s="26"/>
      <c r="C81" s="27"/>
      <c r="D81" s="28"/>
      <c r="E81" s="29"/>
      <c r="F81" s="30"/>
      <c r="G81" s="5"/>
    </row>
    <row r="82" spans="1:7" x14ac:dyDescent="0.2">
      <c r="A82" s="4"/>
      <c r="B82" s="26"/>
      <c r="C82" s="27"/>
      <c r="D82" s="28"/>
      <c r="E82" s="29"/>
      <c r="F82" s="30"/>
      <c r="G82" s="5"/>
    </row>
    <row r="83" spans="1:7" x14ac:dyDescent="0.2">
      <c r="A83" s="4"/>
      <c r="B83" s="26"/>
      <c r="C83" s="27"/>
      <c r="D83" s="28"/>
      <c r="E83" s="29"/>
      <c r="F83" s="30"/>
      <c r="G83" s="5"/>
    </row>
    <row r="84" spans="1:7" x14ac:dyDescent="0.2">
      <c r="A84" s="4"/>
      <c r="B84" s="26"/>
      <c r="C84" s="27"/>
      <c r="D84" s="28"/>
      <c r="E84" s="29"/>
      <c r="F84" s="30"/>
      <c r="G84" s="5"/>
    </row>
    <row r="85" spans="1:7" x14ac:dyDescent="0.2">
      <c r="A85" s="4"/>
      <c r="B85" s="26"/>
      <c r="C85" s="27"/>
      <c r="D85" s="28"/>
      <c r="E85" s="29"/>
      <c r="F85" s="30"/>
      <c r="G85" s="5"/>
    </row>
    <row r="86" spans="1:7" x14ac:dyDescent="0.2">
      <c r="A86" s="4"/>
      <c r="B86" s="26"/>
      <c r="C86" s="27"/>
      <c r="D86" s="28"/>
      <c r="E86" s="29"/>
      <c r="F86" s="30"/>
      <c r="G86" s="5"/>
    </row>
    <row r="87" spans="1:7" x14ac:dyDescent="0.2">
      <c r="A87" s="4"/>
      <c r="B87" s="26"/>
      <c r="C87" s="27"/>
      <c r="D87" s="28"/>
      <c r="E87" s="29"/>
      <c r="F87" s="30"/>
      <c r="G87" s="5"/>
    </row>
    <row r="88" spans="1:7" x14ac:dyDescent="0.2">
      <c r="A88" s="4"/>
      <c r="B88" s="26"/>
      <c r="C88" s="27"/>
      <c r="D88" s="28"/>
      <c r="E88" s="29"/>
      <c r="F88" s="30"/>
      <c r="G88" s="5"/>
    </row>
    <row r="89" spans="1:7" ht="13.5" thickBot="1" x14ac:dyDescent="0.25">
      <c r="A89" s="4"/>
      <c r="B89" s="26"/>
      <c r="C89" s="27"/>
      <c r="D89" s="28"/>
      <c r="E89" s="29"/>
      <c r="F89" s="30"/>
      <c r="G89" s="5"/>
    </row>
    <row r="90" spans="1:7" ht="13.5" thickBot="1" x14ac:dyDescent="0.25">
      <c r="A90" s="4"/>
      <c r="B90" s="6"/>
      <c r="C90" s="35" t="s">
        <v>24</v>
      </c>
      <c r="D90" s="36">
        <f>SUM(D70:D89)</f>
        <v>0</v>
      </c>
      <c r="E90" s="6"/>
      <c r="F90" s="6"/>
      <c r="G90" s="5"/>
    </row>
    <row r="91" spans="1:7" x14ac:dyDescent="0.2">
      <c r="A91" s="4"/>
      <c r="B91" s="6"/>
      <c r="C91" s="6"/>
      <c r="D91" s="6"/>
      <c r="E91" s="6"/>
      <c r="F91" s="6"/>
      <c r="G91" s="5"/>
    </row>
    <row r="92" spans="1:7" ht="13.5" thickBot="1" x14ac:dyDescent="0.25">
      <c r="A92" s="4"/>
      <c r="B92" s="6"/>
      <c r="C92" s="6"/>
      <c r="D92" s="6"/>
      <c r="E92" s="6"/>
      <c r="F92" s="6"/>
      <c r="G92" s="5"/>
    </row>
    <row r="93" spans="1:7" ht="19.5" thickBot="1" x14ac:dyDescent="0.35">
      <c r="A93" s="23" t="s">
        <v>15</v>
      </c>
      <c r="B93" s="50" t="s">
        <v>29</v>
      </c>
      <c r="C93" s="51"/>
      <c r="D93" s="51"/>
      <c r="E93" s="51"/>
      <c r="F93" s="52"/>
      <c r="G93" s="5"/>
    </row>
    <row r="94" spans="1:7" ht="16.5" thickBot="1" x14ac:dyDescent="0.3">
      <c r="A94" s="4"/>
      <c r="B94" s="11"/>
      <c r="C94" s="11"/>
      <c r="D94" s="11"/>
      <c r="E94" s="11"/>
      <c r="F94" s="11"/>
      <c r="G94" s="5"/>
    </row>
    <row r="95" spans="1:7" ht="33" thickTop="1" thickBot="1" x14ac:dyDescent="0.25">
      <c r="A95" s="4"/>
      <c r="B95" s="40" t="s">
        <v>2</v>
      </c>
      <c r="C95" s="41" t="s">
        <v>16</v>
      </c>
      <c r="D95" s="40" t="s">
        <v>17</v>
      </c>
      <c r="E95" s="40" t="s">
        <v>18</v>
      </c>
      <c r="F95" s="40" t="s">
        <v>19</v>
      </c>
      <c r="G95" s="5"/>
    </row>
    <row r="96" spans="1:7" ht="13.5" thickTop="1" x14ac:dyDescent="0.2">
      <c r="A96" s="4"/>
      <c r="B96" s="26">
        <v>43831</v>
      </c>
      <c r="C96" s="27" t="s">
        <v>30</v>
      </c>
      <c r="D96" s="28">
        <v>6000</v>
      </c>
      <c r="E96" s="29"/>
      <c r="F96" s="30"/>
      <c r="G96" s="5"/>
    </row>
    <row r="97" spans="1:7" x14ac:dyDescent="0.2">
      <c r="A97" s="4"/>
      <c r="B97" s="26">
        <v>43831</v>
      </c>
      <c r="C97" s="27" t="s">
        <v>31</v>
      </c>
      <c r="D97" s="28">
        <v>2198184.39</v>
      </c>
      <c r="E97" s="29"/>
      <c r="F97" s="30"/>
      <c r="G97" s="5"/>
    </row>
    <row r="98" spans="1:7" x14ac:dyDescent="0.2">
      <c r="A98" s="4"/>
      <c r="B98" s="26">
        <v>43831</v>
      </c>
      <c r="C98" s="27" t="s">
        <v>32</v>
      </c>
      <c r="D98" s="28">
        <v>6777.1</v>
      </c>
      <c r="E98" s="29"/>
      <c r="F98" s="30"/>
      <c r="G98" s="5"/>
    </row>
    <row r="99" spans="1:7" x14ac:dyDescent="0.2">
      <c r="A99" s="4"/>
      <c r="B99" s="26">
        <v>43832</v>
      </c>
      <c r="C99" s="27" t="s">
        <v>39</v>
      </c>
      <c r="D99" s="28">
        <v>3515</v>
      </c>
      <c r="E99" s="29"/>
      <c r="F99" s="30"/>
      <c r="G99" s="5"/>
    </row>
    <row r="100" spans="1:7" x14ac:dyDescent="0.2">
      <c r="A100" s="4"/>
      <c r="B100" s="26">
        <v>43832</v>
      </c>
      <c r="C100" s="27" t="s">
        <v>39</v>
      </c>
      <c r="D100" s="28">
        <v>1570.5</v>
      </c>
      <c r="E100" s="29"/>
      <c r="F100" s="30"/>
      <c r="G100" s="5"/>
    </row>
    <row r="101" spans="1:7" x14ac:dyDescent="0.2">
      <c r="A101" s="4"/>
      <c r="B101" s="26">
        <v>43832</v>
      </c>
      <c r="C101" s="27" t="s">
        <v>39</v>
      </c>
      <c r="D101" s="28">
        <v>4160.5</v>
      </c>
      <c r="E101" s="29"/>
      <c r="F101" s="30"/>
      <c r="G101" s="5"/>
    </row>
    <row r="102" spans="1:7" x14ac:dyDescent="0.2">
      <c r="A102" s="4"/>
      <c r="B102" s="26">
        <v>43832</v>
      </c>
      <c r="C102" s="27" t="s">
        <v>39</v>
      </c>
      <c r="D102" s="28">
        <v>4160.5</v>
      </c>
      <c r="E102" s="29"/>
      <c r="F102" s="30"/>
      <c r="G102" s="5"/>
    </row>
    <row r="103" spans="1:7" x14ac:dyDescent="0.2">
      <c r="A103" s="4"/>
      <c r="B103" s="26">
        <v>43832</v>
      </c>
      <c r="C103" s="27" t="s">
        <v>39</v>
      </c>
      <c r="D103" s="28">
        <v>4160.5</v>
      </c>
      <c r="E103" s="29"/>
      <c r="F103" s="30"/>
      <c r="G103" s="5"/>
    </row>
    <row r="104" spans="1:7" x14ac:dyDescent="0.2">
      <c r="A104" s="4"/>
      <c r="B104" s="26">
        <v>43832</v>
      </c>
      <c r="C104" s="27" t="s">
        <v>39</v>
      </c>
      <c r="D104" s="28">
        <v>4260.5</v>
      </c>
      <c r="E104" s="29"/>
      <c r="F104" s="30"/>
      <c r="G104" s="5"/>
    </row>
    <row r="105" spans="1:7" x14ac:dyDescent="0.2">
      <c r="A105" s="4"/>
      <c r="B105" s="26">
        <v>43832</v>
      </c>
      <c r="C105" s="27" t="s">
        <v>39</v>
      </c>
      <c r="D105" s="28">
        <v>2535.5</v>
      </c>
      <c r="E105" s="29"/>
      <c r="F105" s="30"/>
      <c r="G105" s="5"/>
    </row>
    <row r="106" spans="1:7" x14ac:dyDescent="0.2">
      <c r="A106" s="4"/>
      <c r="B106" s="26">
        <v>43832</v>
      </c>
      <c r="C106" s="27" t="s">
        <v>39</v>
      </c>
      <c r="D106" s="28">
        <v>2535.5</v>
      </c>
      <c r="E106" s="29"/>
      <c r="F106" s="30"/>
      <c r="G106" s="5"/>
    </row>
    <row r="107" spans="1:7" x14ac:dyDescent="0.2">
      <c r="A107" s="4"/>
      <c r="B107" s="26">
        <v>43832</v>
      </c>
      <c r="C107" s="27" t="s">
        <v>39</v>
      </c>
      <c r="D107" s="28">
        <v>2535.5</v>
      </c>
      <c r="E107" s="29"/>
      <c r="F107" s="30"/>
      <c r="G107" s="5"/>
    </row>
    <row r="108" spans="1:7" x14ac:dyDescent="0.2">
      <c r="A108" s="4"/>
      <c r="B108" s="26">
        <v>43832</v>
      </c>
      <c r="C108" s="27" t="s">
        <v>39</v>
      </c>
      <c r="D108" s="28">
        <v>2535.5</v>
      </c>
      <c r="E108" s="29"/>
      <c r="F108" s="30"/>
      <c r="G108" s="5"/>
    </row>
    <row r="109" spans="1:7" x14ac:dyDescent="0.2">
      <c r="A109" s="4"/>
      <c r="B109" s="26">
        <v>43832</v>
      </c>
      <c r="C109" s="27" t="s">
        <v>39</v>
      </c>
      <c r="D109" s="28">
        <v>2935.5</v>
      </c>
      <c r="E109" s="29"/>
      <c r="F109" s="30"/>
      <c r="G109" s="5"/>
    </row>
    <row r="110" spans="1:7" x14ac:dyDescent="0.2">
      <c r="A110" s="4"/>
      <c r="B110" s="26">
        <v>43832</v>
      </c>
      <c r="C110" s="27" t="s">
        <v>39</v>
      </c>
      <c r="D110" s="28">
        <v>3085.5</v>
      </c>
      <c r="E110" s="29"/>
      <c r="F110" s="30"/>
      <c r="G110" s="5"/>
    </row>
    <row r="111" spans="1:7" x14ac:dyDescent="0.2">
      <c r="A111" s="4"/>
      <c r="B111" s="26">
        <v>43832</v>
      </c>
      <c r="C111" s="27" t="s">
        <v>39</v>
      </c>
      <c r="D111" s="28">
        <v>2935.5</v>
      </c>
      <c r="E111" s="29"/>
      <c r="F111" s="30"/>
      <c r="G111" s="5"/>
    </row>
    <row r="112" spans="1:7" x14ac:dyDescent="0.2">
      <c r="A112" s="4"/>
      <c r="B112" s="26">
        <v>43832</v>
      </c>
      <c r="C112" s="27" t="s">
        <v>39</v>
      </c>
      <c r="D112" s="28">
        <v>3085.5</v>
      </c>
      <c r="E112" s="29"/>
      <c r="F112" s="30"/>
      <c r="G112" s="5"/>
    </row>
    <row r="113" spans="1:7" x14ac:dyDescent="0.2">
      <c r="A113" s="4"/>
      <c r="B113" s="26">
        <v>43832</v>
      </c>
      <c r="C113" s="27" t="s">
        <v>39</v>
      </c>
      <c r="D113" s="28">
        <v>2240</v>
      </c>
      <c r="E113" s="29"/>
      <c r="F113" s="30"/>
      <c r="G113" s="5"/>
    </row>
    <row r="114" spans="1:7" x14ac:dyDescent="0.2">
      <c r="A114" s="4"/>
      <c r="B114" s="26">
        <v>43832</v>
      </c>
      <c r="C114" s="27" t="s">
        <v>39</v>
      </c>
      <c r="D114" s="28">
        <v>4680</v>
      </c>
      <c r="E114" s="29"/>
      <c r="F114" s="30"/>
      <c r="G114" s="5"/>
    </row>
    <row r="115" spans="1:7" x14ac:dyDescent="0.2">
      <c r="A115" s="4"/>
      <c r="B115" s="26">
        <v>43832</v>
      </c>
      <c r="C115" s="27" t="s">
        <v>39</v>
      </c>
      <c r="D115" s="28">
        <v>4680</v>
      </c>
      <c r="E115" s="29"/>
      <c r="F115" s="30"/>
      <c r="G115" s="5"/>
    </row>
    <row r="116" spans="1:7" x14ac:dyDescent="0.2">
      <c r="A116" s="4"/>
      <c r="B116" s="26">
        <v>43832</v>
      </c>
      <c r="C116" s="27" t="s">
        <v>39</v>
      </c>
      <c r="D116" s="28">
        <v>3900</v>
      </c>
      <c r="E116" s="29"/>
      <c r="F116" s="30"/>
      <c r="G116" s="5"/>
    </row>
    <row r="117" spans="1:7" ht="13.5" thickBot="1" x14ac:dyDescent="0.25">
      <c r="A117" s="42"/>
      <c r="B117" s="26">
        <v>43840</v>
      </c>
      <c r="C117" s="27" t="s">
        <v>33</v>
      </c>
      <c r="D117" s="28">
        <v>113703</v>
      </c>
      <c r="E117" s="29" t="s">
        <v>34</v>
      </c>
      <c r="F117" s="30"/>
      <c r="G117" s="43"/>
    </row>
    <row r="118" spans="1:7" ht="13.5" thickTop="1" x14ac:dyDescent="0.2">
      <c r="B118" s="26">
        <v>43843</v>
      </c>
      <c r="C118" s="27" t="s">
        <v>35</v>
      </c>
      <c r="D118" s="28">
        <v>66599.5</v>
      </c>
      <c r="E118" s="29"/>
      <c r="F118" s="30"/>
    </row>
    <row r="119" spans="1:7" x14ac:dyDescent="0.2">
      <c r="B119" s="26">
        <v>43852</v>
      </c>
      <c r="C119" s="27" t="s">
        <v>39</v>
      </c>
      <c r="D119" s="28">
        <v>5429</v>
      </c>
      <c r="E119" s="29"/>
      <c r="F119" s="30"/>
    </row>
    <row r="120" spans="1:7" ht="13.5" thickBot="1" x14ac:dyDescent="0.25">
      <c r="B120" s="26">
        <v>43860</v>
      </c>
      <c r="C120" s="27" t="s">
        <v>36</v>
      </c>
      <c r="D120" s="28">
        <v>3187.8</v>
      </c>
      <c r="E120" s="29" t="s">
        <v>34</v>
      </c>
      <c r="F120" s="30"/>
    </row>
    <row r="121" spans="1:7" ht="13.5" thickBot="1" x14ac:dyDescent="0.25">
      <c r="B121" s="6"/>
      <c r="C121" s="35" t="s">
        <v>24</v>
      </c>
      <c r="D121" s="36">
        <f>SUM(D96:D120)</f>
        <v>2459392.29</v>
      </c>
      <c r="E121" s="6"/>
      <c r="F121" s="6"/>
    </row>
    <row r="122" spans="1:7" ht="13.5" thickBot="1" x14ac:dyDescent="0.25">
      <c r="B122" s="44"/>
      <c r="C122" s="44"/>
      <c r="D122" s="44"/>
      <c r="E122" s="44"/>
      <c r="F122" s="44"/>
    </row>
    <row r="123" spans="1:7" ht="13.5" thickTop="1" x14ac:dyDescent="0.2"/>
  </sheetData>
  <mergeCells count="10">
    <mergeCell ref="B16:F16"/>
    <mergeCell ref="B42:F42"/>
    <mergeCell ref="B67:F67"/>
    <mergeCell ref="B93:F93"/>
    <mergeCell ref="B1:C1"/>
    <mergeCell ref="B2:F2"/>
    <mergeCell ref="B9:C9"/>
    <mergeCell ref="B10:C10"/>
    <mergeCell ref="B11:C11"/>
    <mergeCell ref="B12:C12"/>
  </mergeCells>
  <pageMargins left="0.39370078740157483" right="0.19685039370078741" top="0.47244094488188981" bottom="0.51181102362204722" header="0.27559055118110237" footer="0.31496062992125984"/>
  <pageSetup paperSize="9" scale="67" fitToHeight="0" orientation="portrait" r:id="rId1"/>
  <headerFooter alignWithMargins="0">
    <oddFooter>Page &amp;P</oddFooter>
  </headerFooter>
  <rowBreaks count="1" manualBreakCount="1">
    <brk id="66" max="16383" man="1"/>
  </rowBreaks>
  <colBreaks count="1" manualBreakCount="1">
    <brk id="13" min="8" max="58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Conciliación</vt:lpstr>
      <vt:lpstr>Conciliación!Impression_des_titres</vt:lpstr>
      <vt:lpstr>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BOUHALLA</dc:creator>
  <cp:lastModifiedBy>BOUHALLA</cp:lastModifiedBy>
  <dcterms:created xsi:type="dcterms:W3CDTF">2022-06-14T21:20:35Z</dcterms:created>
  <dcterms:modified xsi:type="dcterms:W3CDTF">2022-07-18T23:47:48Z</dcterms:modified>
</cp:coreProperties>
</file>